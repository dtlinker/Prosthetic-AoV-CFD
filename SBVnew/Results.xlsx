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netid-my.sharepoint.com/personal/dtlinker_uw_edu/Documents/Projects/Improved PPM for work and llustrations/CVET PPM article/Revision 2/New CFD simulations/SBV/"/>
    </mc:Choice>
  </mc:AlternateContent>
  <xr:revisionPtr revIDLastSave="11" documentId="8_{1D51551E-7BE9-844E-9097-3AB6985A45CB}" xr6:coauthVersionLast="47" xr6:coauthVersionMax="47" xr10:uidLastSave="{4DB70250-11DC-B643-BECC-4BC115162C72}"/>
  <bookViews>
    <workbookView xWindow="2200" yWindow="1000" windowWidth="28040" windowHeight="17180" xr2:uid="{1167C8B1-045A-3F48-BB89-1DC3904A5A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9" i="1" l="1"/>
  <c r="C33" i="1" s="1"/>
  <c r="C37" i="1" s="1"/>
  <c r="C41" i="1" s="1"/>
  <c r="B29" i="1"/>
  <c r="B33" i="1" s="1"/>
  <c r="B37" i="1" s="1"/>
  <c r="B41" i="1" s="1"/>
  <c r="B26" i="1"/>
  <c r="C25" i="1"/>
  <c r="B25" i="1"/>
  <c r="B30" i="1" s="1"/>
  <c r="B34" i="1" s="1"/>
  <c r="B38" i="1" s="1"/>
  <c r="B42" i="1" s="1"/>
  <c r="C8" i="1"/>
  <c r="C12" i="1" s="1"/>
  <c r="C16" i="1" s="1"/>
  <c r="C20" i="1" s="1"/>
  <c r="B8" i="1"/>
  <c r="B12" i="1" s="1"/>
  <c r="B16" i="1" s="1"/>
  <c r="B20" i="1" s="1"/>
  <c r="B4" i="1"/>
  <c r="C4" i="1"/>
  <c r="B31" i="1" l="1"/>
  <c r="B35" i="1" s="1"/>
  <c r="B39" i="1" s="1"/>
  <c r="B43" i="1" s="1"/>
  <c r="B27" i="1"/>
  <c r="C30" i="1"/>
  <c r="C34" i="1" s="1"/>
  <c r="C38" i="1" s="1"/>
  <c r="C42" i="1" s="1"/>
  <c r="C26" i="1"/>
  <c r="B9" i="1"/>
  <c r="B13" i="1" s="1"/>
  <c r="B17" i="1" s="1"/>
  <c r="B21" i="1" s="1"/>
  <c r="B5" i="1"/>
  <c r="C5" i="1"/>
  <c r="C9" i="1"/>
  <c r="C13" i="1" s="1"/>
  <c r="C17" i="1" s="1"/>
  <c r="C21" i="1" s="1"/>
  <c r="B28" i="1" l="1"/>
  <c r="B32" i="1"/>
  <c r="B36" i="1" s="1"/>
  <c r="B40" i="1" s="1"/>
  <c r="B44" i="1" s="1"/>
  <c r="C27" i="1"/>
  <c r="C31" i="1"/>
  <c r="C35" i="1" s="1"/>
  <c r="C39" i="1" s="1"/>
  <c r="C43" i="1" s="1"/>
  <c r="B10" i="1"/>
  <c r="B14" i="1" s="1"/>
  <c r="B18" i="1" s="1"/>
  <c r="B22" i="1" s="1"/>
  <c r="B6" i="1"/>
  <c r="C6" i="1"/>
  <c r="C10" i="1"/>
  <c r="C14" i="1" s="1"/>
  <c r="C18" i="1" s="1"/>
  <c r="C22" i="1" s="1"/>
  <c r="C32" i="1" l="1"/>
  <c r="C36" i="1" s="1"/>
  <c r="C40" i="1" s="1"/>
  <c r="C44" i="1" s="1"/>
  <c r="C28" i="1"/>
  <c r="B11" i="1"/>
  <c r="B15" i="1" s="1"/>
  <c r="B19" i="1" s="1"/>
  <c r="B23" i="1" s="1"/>
  <c r="B7" i="1"/>
  <c r="C11" i="1"/>
  <c r="C15" i="1" s="1"/>
  <c r="C19" i="1" s="1"/>
  <c r="C23" i="1" s="1"/>
  <c r="C7" i="1"/>
</calcChain>
</file>

<file path=xl/sharedStrings.xml><?xml version="1.0" encoding="utf-8"?>
<sst xmlns="http://schemas.openxmlformats.org/spreadsheetml/2006/main" count="52" uniqueCount="11">
  <si>
    <t>LVOT</t>
  </si>
  <si>
    <t>AoV</t>
  </si>
  <si>
    <t>V1</t>
  </si>
  <si>
    <t>Vmax</t>
  </si>
  <si>
    <t>Pmax</t>
  </si>
  <si>
    <t>Pend</t>
  </si>
  <si>
    <t>Old sten</t>
  </si>
  <si>
    <t>SBV</t>
  </si>
  <si>
    <t>Vend</t>
  </si>
  <si>
    <t>sten</t>
  </si>
  <si>
    <t>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</si>
</sst>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3"/>
      <color theme="1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64A58-A6D5-FA4F-95EB-294820089112}">
  <dimension ref="A1:I44"/>
  <sheetViews>
    <sheetView tabSelected="1" workbookViewId="0">
      <selection activeCell="A2" sqref="A2"/>
    </sheetView>
  </sheetViews>
  <sheetFormatPr baseColWidth="10" defaultRowHeight="16" x14ac:dyDescent="0.2"/>
  <sheetData>
    <row r="1" spans="1:9" x14ac:dyDescent="0.2">
      <c r="D1" t="s">
        <v>6</v>
      </c>
      <c r="I1" t="s">
        <v>7</v>
      </c>
    </row>
    <row r="2" spans="1:9" ht="17" x14ac:dyDescent="0.2">
      <c r="A2" t="s">
        <v>10</v>
      </c>
      <c r="B2" t="s">
        <v>0</v>
      </c>
      <c r="C2" t="s">
        <v>1</v>
      </c>
      <c r="D2" s="1" t="s">
        <v>2</v>
      </c>
      <c r="E2" t="s">
        <v>3</v>
      </c>
      <c r="F2" t="s">
        <v>8</v>
      </c>
      <c r="G2" t="s">
        <v>4</v>
      </c>
      <c r="H2" t="s">
        <v>5</v>
      </c>
      <c r="I2" s="1"/>
    </row>
    <row r="3" spans="1:9" x14ac:dyDescent="0.2">
      <c r="A3" t="s">
        <v>9</v>
      </c>
      <c r="B3">
        <v>11</v>
      </c>
      <c r="C3">
        <v>9</v>
      </c>
      <c r="D3">
        <v>1</v>
      </c>
      <c r="E3">
        <v>1.73</v>
      </c>
      <c r="F3">
        <v>1.7</v>
      </c>
      <c r="G3">
        <v>7.87</v>
      </c>
      <c r="H3">
        <v>7.4</v>
      </c>
    </row>
    <row r="4" spans="1:9" x14ac:dyDescent="0.2">
      <c r="A4" t="s">
        <v>9</v>
      </c>
      <c r="B4">
        <f>B3</f>
        <v>11</v>
      </c>
      <c r="C4">
        <f>C3-1</f>
        <v>8</v>
      </c>
      <c r="D4">
        <v>1</v>
      </c>
      <c r="E4">
        <v>2.3199999999999998</v>
      </c>
      <c r="F4">
        <v>2.31</v>
      </c>
      <c r="G4">
        <v>17.350000000000001</v>
      </c>
      <c r="H4">
        <v>17.21</v>
      </c>
    </row>
    <row r="5" spans="1:9" x14ac:dyDescent="0.2">
      <c r="A5" t="s">
        <v>9</v>
      </c>
      <c r="B5">
        <f t="shared" ref="B5:B7" si="0">B4</f>
        <v>11</v>
      </c>
      <c r="C5">
        <f t="shared" ref="C5:C7" si="1">C4-1</f>
        <v>7</v>
      </c>
      <c r="D5">
        <v>1</v>
      </c>
      <c r="E5">
        <v>3.14</v>
      </c>
      <c r="F5">
        <v>3.14</v>
      </c>
      <c r="G5">
        <v>35.03</v>
      </c>
      <c r="H5">
        <v>35.020000000000003</v>
      </c>
    </row>
    <row r="6" spans="1:9" x14ac:dyDescent="0.2">
      <c r="A6" t="s">
        <v>9</v>
      </c>
      <c r="B6">
        <f t="shared" si="0"/>
        <v>11</v>
      </c>
      <c r="C6">
        <f t="shared" si="1"/>
        <v>6</v>
      </c>
      <c r="D6">
        <v>1</v>
      </c>
      <c r="E6">
        <v>4.33</v>
      </c>
      <c r="F6">
        <v>4.33</v>
      </c>
      <c r="G6">
        <v>70.239999999999995</v>
      </c>
      <c r="H6">
        <v>70.17</v>
      </c>
    </row>
    <row r="7" spans="1:9" x14ac:dyDescent="0.2">
      <c r="A7" t="s">
        <v>9</v>
      </c>
      <c r="B7">
        <f t="shared" si="0"/>
        <v>11</v>
      </c>
      <c r="C7">
        <f t="shared" si="1"/>
        <v>5</v>
      </c>
      <c r="D7">
        <v>1</v>
      </c>
      <c r="E7">
        <v>6.21</v>
      </c>
      <c r="F7">
        <v>6.2</v>
      </c>
      <c r="G7">
        <v>148.71</v>
      </c>
      <c r="H7">
        <v>148.56</v>
      </c>
    </row>
    <row r="8" spans="1:9" x14ac:dyDescent="0.2">
      <c r="A8" t="s">
        <v>9</v>
      </c>
      <c r="B8">
        <f>B3-0.5</f>
        <v>10.5</v>
      </c>
      <c r="C8">
        <f>C3-0.5</f>
        <v>8.5</v>
      </c>
      <c r="D8">
        <v>1</v>
      </c>
      <c r="E8">
        <v>1.81</v>
      </c>
      <c r="F8">
        <v>1.78</v>
      </c>
      <c r="G8">
        <v>9.0399999999999991</v>
      </c>
      <c r="H8">
        <v>8.57</v>
      </c>
    </row>
    <row r="9" spans="1:9" x14ac:dyDescent="0.2">
      <c r="A9" t="s">
        <v>9</v>
      </c>
      <c r="B9">
        <f t="shared" ref="B9:C9" si="2">B4-0.5</f>
        <v>10.5</v>
      </c>
      <c r="C9">
        <f t="shared" si="2"/>
        <v>7.5</v>
      </c>
      <c r="D9">
        <v>1</v>
      </c>
      <c r="E9">
        <v>2.4300000000000002</v>
      </c>
      <c r="F9">
        <v>2.42</v>
      </c>
      <c r="G9">
        <v>19.39</v>
      </c>
      <c r="H9">
        <v>19.21</v>
      </c>
    </row>
    <row r="10" spans="1:9" x14ac:dyDescent="0.2">
      <c r="A10" t="s">
        <v>9</v>
      </c>
      <c r="B10">
        <f t="shared" ref="B10:C10" si="3">B5-0.5</f>
        <v>10.5</v>
      </c>
      <c r="C10">
        <f t="shared" si="3"/>
        <v>6.5</v>
      </c>
      <c r="D10">
        <v>1</v>
      </c>
      <c r="E10">
        <v>3.2</v>
      </c>
      <c r="F10">
        <v>3.2</v>
      </c>
      <c r="G10">
        <v>36.58</v>
      </c>
      <c r="H10">
        <v>36.56</v>
      </c>
    </row>
    <row r="11" spans="1:9" x14ac:dyDescent="0.2">
      <c r="A11" t="s">
        <v>9</v>
      </c>
      <c r="B11">
        <f t="shared" ref="B11:C11" si="4">B6-0.5</f>
        <v>10.5</v>
      </c>
      <c r="C11">
        <f t="shared" si="4"/>
        <v>5.5</v>
      </c>
      <c r="D11">
        <v>1</v>
      </c>
      <c r="E11">
        <v>4.4800000000000004</v>
      </c>
      <c r="F11">
        <v>4.47</v>
      </c>
      <c r="G11">
        <v>75.39</v>
      </c>
      <c r="H11">
        <v>75.31</v>
      </c>
    </row>
    <row r="12" spans="1:9" x14ac:dyDescent="0.2">
      <c r="A12" t="s">
        <v>9</v>
      </c>
      <c r="B12">
        <f>B8-0.5</f>
        <v>10</v>
      </c>
      <c r="C12">
        <f>C8-0.5</f>
        <v>8</v>
      </c>
      <c r="D12">
        <v>1</v>
      </c>
      <c r="E12">
        <v>1.8</v>
      </c>
      <c r="F12">
        <v>1.77</v>
      </c>
      <c r="G12">
        <v>8.91</v>
      </c>
      <c r="H12">
        <v>8.4</v>
      </c>
    </row>
    <row r="13" spans="1:9" x14ac:dyDescent="0.2">
      <c r="A13" t="s">
        <v>9</v>
      </c>
      <c r="B13">
        <f>B9-0.5</f>
        <v>10</v>
      </c>
      <c r="C13">
        <f>C9-0.5</f>
        <v>7</v>
      </c>
      <c r="D13">
        <v>1</v>
      </c>
      <c r="E13">
        <v>2.52</v>
      </c>
      <c r="F13">
        <v>2.5099999999999998</v>
      </c>
      <c r="G13">
        <v>21.19</v>
      </c>
      <c r="H13">
        <v>21</v>
      </c>
    </row>
    <row r="14" spans="1:9" x14ac:dyDescent="0.2">
      <c r="A14" t="s">
        <v>9</v>
      </c>
      <c r="B14">
        <f>B10-0.5</f>
        <v>10</v>
      </c>
      <c r="C14">
        <f>C10-0.5</f>
        <v>6</v>
      </c>
      <c r="D14">
        <v>0</v>
      </c>
      <c r="E14">
        <v>3.48</v>
      </c>
      <c r="F14">
        <v>3.48</v>
      </c>
      <c r="G14">
        <v>44.14</v>
      </c>
      <c r="H14">
        <v>44.12</v>
      </c>
    </row>
    <row r="15" spans="1:9" x14ac:dyDescent="0.2">
      <c r="A15" t="s">
        <v>9</v>
      </c>
      <c r="B15">
        <f>B11-0.5</f>
        <v>10</v>
      </c>
      <c r="C15">
        <f>C11-0.5</f>
        <v>5</v>
      </c>
      <c r="D15">
        <v>1</v>
      </c>
      <c r="E15">
        <v>5.07</v>
      </c>
      <c r="F15">
        <v>5.0599999999999996</v>
      </c>
      <c r="G15">
        <v>97.73</v>
      </c>
      <c r="H15">
        <v>97.61</v>
      </c>
    </row>
    <row r="16" spans="1:9" x14ac:dyDescent="0.2">
      <c r="A16" t="s">
        <v>9</v>
      </c>
      <c r="B16">
        <f>B12-0.5</f>
        <v>9.5</v>
      </c>
      <c r="C16">
        <f>C12-0.5</f>
        <v>7.5</v>
      </c>
      <c r="D16">
        <v>1</v>
      </c>
      <c r="E16">
        <v>1.92</v>
      </c>
      <c r="F16">
        <v>1.89</v>
      </c>
      <c r="G16">
        <v>10.67</v>
      </c>
      <c r="H16">
        <v>10.15</v>
      </c>
    </row>
    <row r="17" spans="1:8" x14ac:dyDescent="0.2">
      <c r="A17" t="s">
        <v>9</v>
      </c>
      <c r="B17">
        <f t="shared" ref="B17:C17" si="5">B13-0.5</f>
        <v>9.5</v>
      </c>
      <c r="C17">
        <f t="shared" si="5"/>
        <v>6.5</v>
      </c>
      <c r="D17">
        <v>1</v>
      </c>
      <c r="E17">
        <v>2.66</v>
      </c>
      <c r="F17">
        <v>2.65</v>
      </c>
      <c r="G17">
        <v>24.07</v>
      </c>
      <c r="H17">
        <v>23.82</v>
      </c>
    </row>
    <row r="18" spans="1:8" x14ac:dyDescent="0.2">
      <c r="A18" t="s">
        <v>9</v>
      </c>
      <c r="B18">
        <f t="shared" ref="B18:C18" si="6">B14-0.5</f>
        <v>9.5</v>
      </c>
      <c r="C18">
        <f t="shared" si="6"/>
        <v>5.5</v>
      </c>
      <c r="D18">
        <v>1</v>
      </c>
      <c r="E18">
        <v>3.76</v>
      </c>
      <c r="F18">
        <v>3.76</v>
      </c>
      <c r="G18">
        <v>52.01</v>
      </c>
      <c r="H18">
        <v>51.98</v>
      </c>
    </row>
    <row r="19" spans="1:8" x14ac:dyDescent="0.2">
      <c r="A19" t="s">
        <v>9</v>
      </c>
      <c r="B19">
        <f t="shared" ref="B19:C19" si="7">B15-0.5</f>
        <v>9.5</v>
      </c>
      <c r="C19">
        <f t="shared" si="7"/>
        <v>4.5</v>
      </c>
      <c r="D19">
        <v>1</v>
      </c>
      <c r="E19">
        <v>5.56</v>
      </c>
      <c r="F19">
        <v>5.56</v>
      </c>
      <c r="G19">
        <v>118.39</v>
      </c>
      <c r="H19">
        <v>118.25</v>
      </c>
    </row>
    <row r="20" spans="1:8" x14ac:dyDescent="0.2">
      <c r="A20" t="s">
        <v>9</v>
      </c>
      <c r="B20">
        <f>B16-0.5</f>
        <v>9</v>
      </c>
      <c r="C20">
        <f>C16-0.5</f>
        <v>7</v>
      </c>
      <c r="D20">
        <v>1</v>
      </c>
      <c r="E20">
        <v>1.93</v>
      </c>
      <c r="F20">
        <v>1.89</v>
      </c>
      <c r="G20">
        <v>10.75</v>
      </c>
      <c r="H20">
        <v>10.16</v>
      </c>
    </row>
    <row r="21" spans="1:8" x14ac:dyDescent="0.2">
      <c r="A21" t="s">
        <v>9</v>
      </c>
      <c r="B21">
        <f t="shared" ref="B21:C21" si="8">B17-0.5</f>
        <v>9</v>
      </c>
      <c r="C21">
        <f t="shared" si="8"/>
        <v>6</v>
      </c>
      <c r="D21">
        <v>0</v>
      </c>
      <c r="E21">
        <v>2.79</v>
      </c>
      <c r="F21">
        <v>2.78</v>
      </c>
      <c r="G21">
        <v>26.79</v>
      </c>
      <c r="H21">
        <v>26.56</v>
      </c>
    </row>
    <row r="22" spans="1:8" x14ac:dyDescent="0.2">
      <c r="A22" t="s">
        <v>9</v>
      </c>
      <c r="B22">
        <f t="shared" ref="B22:C22" si="9">B18-0.5</f>
        <v>9</v>
      </c>
      <c r="C22">
        <f t="shared" si="9"/>
        <v>5</v>
      </c>
      <c r="D22">
        <v>1</v>
      </c>
      <c r="E22">
        <v>4.07</v>
      </c>
      <c r="F22">
        <v>4.07</v>
      </c>
      <c r="G22">
        <v>61.75</v>
      </c>
      <c r="H22">
        <v>61.7</v>
      </c>
    </row>
    <row r="23" spans="1:8" x14ac:dyDescent="0.2">
      <c r="A23" t="s">
        <v>9</v>
      </c>
      <c r="B23">
        <f t="shared" ref="B23:C23" si="10">B19-0.5</f>
        <v>9</v>
      </c>
      <c r="C23">
        <f t="shared" si="10"/>
        <v>4</v>
      </c>
      <c r="D23">
        <v>1</v>
      </c>
      <c r="E23">
        <v>6.38</v>
      </c>
      <c r="F23">
        <v>6.38</v>
      </c>
      <c r="G23">
        <v>157.43</v>
      </c>
      <c r="H23">
        <v>157.22</v>
      </c>
    </row>
    <row r="24" spans="1:8" x14ac:dyDescent="0.2">
      <c r="A24" t="s">
        <v>7</v>
      </c>
      <c r="B24">
        <v>11</v>
      </c>
      <c r="C24">
        <v>9</v>
      </c>
      <c r="D24">
        <v>1</v>
      </c>
      <c r="E24">
        <v>1.61</v>
      </c>
      <c r="F24">
        <v>1.6</v>
      </c>
      <c r="G24">
        <v>6.29</v>
      </c>
      <c r="H24">
        <v>6.14</v>
      </c>
    </row>
    <row r="25" spans="1:8" x14ac:dyDescent="0.2">
      <c r="A25" t="s">
        <v>7</v>
      </c>
      <c r="B25">
        <f>B24</f>
        <v>11</v>
      </c>
      <c r="C25">
        <f>C24-1</f>
        <v>8</v>
      </c>
      <c r="D25">
        <v>1</v>
      </c>
      <c r="E25">
        <v>2.09</v>
      </c>
      <c r="F25">
        <v>2.08</v>
      </c>
      <c r="G25">
        <v>13.25</v>
      </c>
      <c r="H25">
        <v>13.21</v>
      </c>
    </row>
    <row r="26" spans="1:8" x14ac:dyDescent="0.2">
      <c r="A26" t="s">
        <v>7</v>
      </c>
      <c r="B26">
        <f t="shared" ref="B26:B28" si="11">B25</f>
        <v>11</v>
      </c>
      <c r="C26">
        <f t="shared" ref="C26:C28" si="12">C25-1</f>
        <v>7</v>
      </c>
      <c r="D26">
        <v>1</v>
      </c>
      <c r="E26">
        <v>2.75</v>
      </c>
      <c r="F26">
        <v>2.74</v>
      </c>
      <c r="G26">
        <v>25.89</v>
      </c>
      <c r="H26">
        <v>25.86</v>
      </c>
    </row>
    <row r="27" spans="1:8" x14ac:dyDescent="0.2">
      <c r="A27" t="s">
        <v>7</v>
      </c>
      <c r="B27">
        <f t="shared" si="11"/>
        <v>11</v>
      </c>
      <c r="C27">
        <f t="shared" si="12"/>
        <v>6</v>
      </c>
      <c r="D27">
        <v>1</v>
      </c>
      <c r="E27">
        <v>3.88</v>
      </c>
      <c r="F27">
        <v>3.87</v>
      </c>
      <c r="G27">
        <v>55.58</v>
      </c>
      <c r="H27">
        <v>55.52</v>
      </c>
    </row>
    <row r="28" spans="1:8" x14ac:dyDescent="0.2">
      <c r="A28" t="s">
        <v>7</v>
      </c>
      <c r="B28">
        <f t="shared" si="11"/>
        <v>11</v>
      </c>
      <c r="C28">
        <f t="shared" si="12"/>
        <v>5</v>
      </c>
      <c r="D28">
        <v>1</v>
      </c>
      <c r="E28">
        <v>5.66</v>
      </c>
      <c r="F28">
        <v>5.65</v>
      </c>
      <c r="G28">
        <v>122.86</v>
      </c>
      <c r="H28">
        <v>122.72</v>
      </c>
    </row>
    <row r="29" spans="1:8" x14ac:dyDescent="0.2">
      <c r="A29" t="s">
        <v>7</v>
      </c>
      <c r="B29">
        <f>B24-0.5</f>
        <v>10.5</v>
      </c>
      <c r="C29">
        <f>C24-0.5</f>
        <v>8.5</v>
      </c>
      <c r="D29">
        <v>1</v>
      </c>
      <c r="E29">
        <v>1.63</v>
      </c>
      <c r="F29">
        <v>1.61</v>
      </c>
      <c r="G29">
        <v>6.61</v>
      </c>
      <c r="H29">
        <v>6.31</v>
      </c>
    </row>
    <row r="30" spans="1:8" x14ac:dyDescent="0.2">
      <c r="A30" t="s">
        <v>7</v>
      </c>
      <c r="B30">
        <f t="shared" ref="B30:C30" si="13">B25-0.5</f>
        <v>10.5</v>
      </c>
      <c r="C30">
        <f t="shared" si="13"/>
        <v>7.5</v>
      </c>
      <c r="D30">
        <v>1</v>
      </c>
      <c r="E30">
        <v>2.14</v>
      </c>
      <c r="F30">
        <v>2.13</v>
      </c>
      <c r="G30">
        <v>14.18</v>
      </c>
      <c r="H30">
        <v>13.94</v>
      </c>
    </row>
    <row r="31" spans="1:8" x14ac:dyDescent="0.2">
      <c r="A31" t="s">
        <v>7</v>
      </c>
      <c r="B31">
        <f t="shared" ref="B31:C31" si="14">B26-0.5</f>
        <v>10.5</v>
      </c>
      <c r="C31">
        <f t="shared" si="14"/>
        <v>6.5</v>
      </c>
      <c r="D31">
        <v>1</v>
      </c>
      <c r="E31">
        <v>2.92</v>
      </c>
      <c r="F31">
        <v>2.92</v>
      </c>
      <c r="G31">
        <v>29.92</v>
      </c>
      <c r="H31">
        <v>29.9</v>
      </c>
    </row>
    <row r="32" spans="1:8" x14ac:dyDescent="0.2">
      <c r="A32" t="s">
        <v>7</v>
      </c>
      <c r="B32">
        <f t="shared" ref="B32:C32" si="15">B27-0.5</f>
        <v>10.5</v>
      </c>
      <c r="C32">
        <f t="shared" si="15"/>
        <v>5.5</v>
      </c>
      <c r="D32">
        <v>1</v>
      </c>
      <c r="E32">
        <v>4.26</v>
      </c>
      <c r="F32">
        <v>4.26</v>
      </c>
      <c r="G32">
        <v>67.92</v>
      </c>
      <c r="H32">
        <v>67.83</v>
      </c>
    </row>
    <row r="33" spans="1:8" x14ac:dyDescent="0.2">
      <c r="A33" t="s">
        <v>7</v>
      </c>
      <c r="B33">
        <f>B29-0.5</f>
        <v>10</v>
      </c>
      <c r="C33">
        <f>C29-0.5</f>
        <v>8</v>
      </c>
      <c r="D33">
        <v>1</v>
      </c>
      <c r="E33">
        <v>1.69</v>
      </c>
      <c r="F33">
        <v>1.67</v>
      </c>
      <c r="G33">
        <v>7.28</v>
      </c>
      <c r="H33">
        <v>7.04</v>
      </c>
    </row>
    <row r="34" spans="1:8" x14ac:dyDescent="0.2">
      <c r="A34" t="s">
        <v>7</v>
      </c>
      <c r="B34">
        <f>B30-0.5</f>
        <v>10</v>
      </c>
      <c r="C34">
        <f>C30-0.5</f>
        <v>7</v>
      </c>
      <c r="D34">
        <v>1</v>
      </c>
      <c r="E34">
        <v>2.25</v>
      </c>
      <c r="F34">
        <v>2.25</v>
      </c>
      <c r="G34">
        <v>16.05</v>
      </c>
      <c r="H34">
        <v>16.010000000000002</v>
      </c>
    </row>
    <row r="35" spans="1:8" x14ac:dyDescent="0.2">
      <c r="A35" t="s">
        <v>7</v>
      </c>
      <c r="B35">
        <f>B31-0.5</f>
        <v>10</v>
      </c>
      <c r="C35">
        <f>C31-0.5</f>
        <v>6</v>
      </c>
      <c r="D35">
        <v>1</v>
      </c>
      <c r="E35">
        <v>3.13</v>
      </c>
      <c r="F35">
        <v>3.13</v>
      </c>
      <c r="G35">
        <v>34.85</v>
      </c>
      <c r="H35">
        <v>34.76</v>
      </c>
    </row>
    <row r="36" spans="1:8" x14ac:dyDescent="0.2">
      <c r="A36" t="s">
        <v>7</v>
      </c>
      <c r="B36">
        <f>B32-0.5</f>
        <v>10</v>
      </c>
      <c r="C36">
        <f>C32-0.5</f>
        <v>5</v>
      </c>
      <c r="D36">
        <v>1</v>
      </c>
      <c r="E36">
        <v>4.46</v>
      </c>
      <c r="F36">
        <v>4.43</v>
      </c>
      <c r="G36">
        <v>74.989999999999995</v>
      </c>
      <c r="H36">
        <v>74</v>
      </c>
    </row>
    <row r="37" spans="1:8" x14ac:dyDescent="0.2">
      <c r="A37" t="s">
        <v>7</v>
      </c>
      <c r="B37">
        <f>B33-0.5</f>
        <v>9.5</v>
      </c>
      <c r="C37">
        <f>C33-0.5</f>
        <v>7.5</v>
      </c>
      <c r="D37">
        <v>1</v>
      </c>
      <c r="E37">
        <v>1.75</v>
      </c>
      <c r="F37">
        <v>1.73</v>
      </c>
      <c r="G37">
        <v>8.16</v>
      </c>
      <c r="H37">
        <v>7.93</v>
      </c>
    </row>
    <row r="38" spans="1:8" x14ac:dyDescent="0.2">
      <c r="A38" t="s">
        <v>7</v>
      </c>
      <c r="B38">
        <f t="shared" ref="B38:C38" si="16">B34-0.5</f>
        <v>9.5</v>
      </c>
      <c r="C38">
        <f t="shared" si="16"/>
        <v>6.5</v>
      </c>
      <c r="D38">
        <v>1</v>
      </c>
      <c r="E38">
        <v>2.33</v>
      </c>
      <c r="F38">
        <v>2.2999999999999998</v>
      </c>
      <c r="G38">
        <v>17.46</v>
      </c>
      <c r="H38">
        <v>17.02</v>
      </c>
    </row>
    <row r="39" spans="1:8" x14ac:dyDescent="0.2">
      <c r="A39" t="s">
        <v>7</v>
      </c>
      <c r="B39">
        <f t="shared" ref="B39:C39" si="17">B35-0.5</f>
        <v>9.5</v>
      </c>
      <c r="C39">
        <f t="shared" si="17"/>
        <v>5.5</v>
      </c>
      <c r="D39">
        <v>1</v>
      </c>
      <c r="E39">
        <v>3.37</v>
      </c>
      <c r="F39">
        <v>3.37</v>
      </c>
      <c r="G39">
        <v>40.99</v>
      </c>
      <c r="H39">
        <v>40.96</v>
      </c>
    </row>
    <row r="40" spans="1:8" x14ac:dyDescent="0.2">
      <c r="A40" t="s">
        <v>7</v>
      </c>
      <c r="B40">
        <f t="shared" ref="B40:C40" si="18">B36-0.5</f>
        <v>9.5</v>
      </c>
      <c r="C40">
        <f t="shared" si="18"/>
        <v>4.5</v>
      </c>
      <c r="D40">
        <v>1</v>
      </c>
      <c r="E40">
        <v>5.2</v>
      </c>
      <c r="F40">
        <v>5.2</v>
      </c>
      <c r="G40">
        <v>103.32</v>
      </c>
      <c r="H40">
        <v>103.19</v>
      </c>
    </row>
    <row r="41" spans="1:8" x14ac:dyDescent="0.2">
      <c r="A41" t="s">
        <v>7</v>
      </c>
      <c r="B41">
        <f>B37-0.5</f>
        <v>9</v>
      </c>
      <c r="C41">
        <f>C37-0.5</f>
        <v>7</v>
      </c>
      <c r="D41">
        <v>1</v>
      </c>
      <c r="E41">
        <v>1.79</v>
      </c>
      <c r="F41">
        <v>1.77</v>
      </c>
      <c r="G41">
        <v>8.75</v>
      </c>
      <c r="H41">
        <v>8.4700000000000006</v>
      </c>
    </row>
    <row r="42" spans="1:8" x14ac:dyDescent="0.2">
      <c r="A42" t="s">
        <v>7</v>
      </c>
      <c r="B42">
        <f t="shared" ref="B42:C42" si="19">B38-0.5</f>
        <v>9</v>
      </c>
      <c r="C42">
        <f t="shared" si="19"/>
        <v>6</v>
      </c>
      <c r="D42">
        <v>1</v>
      </c>
      <c r="E42">
        <v>2.4900000000000002</v>
      </c>
      <c r="F42">
        <v>2.4900000000000002</v>
      </c>
      <c r="G42">
        <v>20.68</v>
      </c>
      <c r="H42">
        <v>20.61</v>
      </c>
    </row>
    <row r="43" spans="1:8" x14ac:dyDescent="0.2">
      <c r="A43" t="s">
        <v>7</v>
      </c>
      <c r="B43">
        <f t="shared" ref="B43:C43" si="20">B39-0.5</f>
        <v>9</v>
      </c>
      <c r="C43">
        <f t="shared" si="20"/>
        <v>5</v>
      </c>
      <c r="D43">
        <v>1</v>
      </c>
      <c r="E43">
        <v>3.71</v>
      </c>
      <c r="F43">
        <v>3.71</v>
      </c>
      <c r="G43">
        <v>50.55</v>
      </c>
      <c r="H43">
        <v>50.5</v>
      </c>
    </row>
    <row r="44" spans="1:8" x14ac:dyDescent="0.2">
      <c r="A44" t="s">
        <v>7</v>
      </c>
      <c r="B44">
        <f t="shared" ref="B44:C44" si="21">B40-0.5</f>
        <v>9</v>
      </c>
      <c r="C44">
        <f t="shared" si="21"/>
        <v>4</v>
      </c>
      <c r="D44">
        <v>1</v>
      </c>
      <c r="E44">
        <v>5.74</v>
      </c>
      <c r="F44">
        <v>5.73</v>
      </c>
      <c r="G44">
        <v>126.4</v>
      </c>
      <c r="H44">
        <v>126.2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6b6dd5b-f02f-441a-99a0-162ac5060bd2}" enabled="0" method="" siteId="{f6b6dd5b-f02f-441a-99a0-162ac5060b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T Linker</dc:creator>
  <cp:lastModifiedBy>David T Linker</cp:lastModifiedBy>
  <dcterms:created xsi:type="dcterms:W3CDTF">2026-08-21T00:53:38Z</dcterms:created>
  <dcterms:modified xsi:type="dcterms:W3CDTF">2026-08-21T03:21:23Z</dcterms:modified>
</cp:coreProperties>
</file>